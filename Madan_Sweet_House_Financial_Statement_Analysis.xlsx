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esh\Downloads\"/>
    </mc:Choice>
  </mc:AlternateContent>
  <xr:revisionPtr revIDLastSave="0" documentId="8_{BC298C54-077D-4EBD-AAD7-7F59B1E9D335}" xr6:coauthVersionLast="47" xr6:coauthVersionMax="47" xr10:uidLastSave="{00000000-0000-0000-0000-000000000000}"/>
  <bookViews>
    <workbookView xWindow="-120" yWindow="-120" windowWidth="20730" windowHeight="11760" xr2:uid="{809E8780-A76A-4646-9474-43478637E1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1" i="1" l="1"/>
  <c r="B25" i="1"/>
  <c r="B19" i="1"/>
  <c r="B10" i="1"/>
  <c r="B8" i="1"/>
</calcChain>
</file>

<file path=xl/sharedStrings.xml><?xml version="1.0" encoding="utf-8"?>
<sst xmlns="http://schemas.openxmlformats.org/spreadsheetml/2006/main" count="25" uniqueCount="25">
  <si>
    <t>Financial Statement Analysis</t>
  </si>
  <si>
    <t>Madan Sweet House</t>
  </si>
  <si>
    <t>For the year ended December  31, 2025</t>
  </si>
  <si>
    <t>Income Statement</t>
  </si>
  <si>
    <t>Sales revenue</t>
  </si>
  <si>
    <t>Cost of goods sold</t>
  </si>
  <si>
    <t>Gross profit</t>
  </si>
  <si>
    <t>Operating Expenses</t>
  </si>
  <si>
    <t>Net Income</t>
  </si>
  <si>
    <t>Balance Sheet</t>
  </si>
  <si>
    <t>Assets</t>
  </si>
  <si>
    <t>Cash</t>
  </si>
  <si>
    <t>Account receivable</t>
  </si>
  <si>
    <t>Inventory</t>
  </si>
  <si>
    <t>Equipment</t>
  </si>
  <si>
    <t>TOTAL ASSETS</t>
  </si>
  <si>
    <t>Liabilities and Equity</t>
  </si>
  <si>
    <t xml:space="preserve">Accounts payable </t>
  </si>
  <si>
    <t xml:space="preserve">Notes payable </t>
  </si>
  <si>
    <t xml:space="preserve">Owner's Equity </t>
  </si>
  <si>
    <t>Total liabilities and equity</t>
  </si>
  <si>
    <t>Financial Ratios</t>
  </si>
  <si>
    <t>Current Ratios</t>
  </si>
  <si>
    <t>Gross profit margin</t>
  </si>
  <si>
    <t>Net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</si>
</sst>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u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9" fontId="0" fillId="0" borderId="0" xfId="0" applyNumberFormat="1"/>
    <xf numFmtId="9" fontId="0" fillId="0" borderId="0" xfId="2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E20F-F41E-4474-826A-4F3955EBF493}">
  <dimension ref="A1:B31"/>
  <sheetViews>
    <sheetView tabSelected="1" workbookViewId="0">
      <selection activeCell="D12" sqref="D12"/>
    </sheetView>
  </sheetViews>
  <sheetFormatPr defaultRowHeight="15" x14ac:dyDescent="0.25"/>
  <cols>
    <col min="1" max="1" width="36" bestFit="1" customWidth="1"/>
    <col min="2" max="2" width="12.5703125" bestFit="1" customWidth="1"/>
  </cols>
  <sheetData>
    <row r="1" spans="1:2" ht="18.75" x14ac:dyDescent="0.3">
      <c r="A1" s="7" t="s">
        <v>0</v>
      </c>
    </row>
    <row r="2" spans="1:2" ht="15.75" x14ac:dyDescent="0.25">
      <c r="A2" s="8" t="s">
        <v>1</v>
      </c>
    </row>
    <row r="3" spans="1:2" x14ac:dyDescent="0.25">
      <c r="A3" s="9" t="s">
        <v>2</v>
      </c>
    </row>
    <row r="5" spans="1:2" ht="18.75" x14ac:dyDescent="0.3">
      <c r="A5" s="3" t="s">
        <v>3</v>
      </c>
    </row>
    <row r="6" spans="1:2" x14ac:dyDescent="0.25">
      <c r="A6" s="4" t="s">
        <v>4</v>
      </c>
      <c r="B6" s="10">
        <v>150000</v>
      </c>
    </row>
    <row r="7" spans="1:2" x14ac:dyDescent="0.25">
      <c r="A7" t="s">
        <v>5</v>
      </c>
      <c r="B7" s="10">
        <v>80000</v>
      </c>
    </row>
    <row r="8" spans="1:2" x14ac:dyDescent="0.25">
      <c r="A8" t="s">
        <v>6</v>
      </c>
      <c r="B8" s="10">
        <f>B6-B7</f>
        <v>70000</v>
      </c>
    </row>
    <row r="9" spans="1:2" x14ac:dyDescent="0.25">
      <c r="A9" t="s">
        <v>7</v>
      </c>
      <c r="B9" s="10">
        <v>40000</v>
      </c>
    </row>
    <row r="10" spans="1:2" x14ac:dyDescent="0.25">
      <c r="A10" s="1" t="s">
        <v>8</v>
      </c>
      <c r="B10" s="10">
        <f>B8-B9</f>
        <v>30000</v>
      </c>
    </row>
    <row r="13" spans="1:2" ht="18.75" x14ac:dyDescent="0.3">
      <c r="A13" s="3" t="s">
        <v>9</v>
      </c>
    </row>
    <row r="14" spans="1:2" ht="18.75" x14ac:dyDescent="0.3">
      <c r="A14" s="2" t="s">
        <v>10</v>
      </c>
    </row>
    <row r="15" spans="1:2" x14ac:dyDescent="0.25">
      <c r="A15" t="s">
        <v>11</v>
      </c>
      <c r="B15" s="10">
        <v>25000</v>
      </c>
    </row>
    <row r="16" spans="1:2" x14ac:dyDescent="0.25">
      <c r="A16" t="s">
        <v>12</v>
      </c>
      <c r="B16" s="10">
        <v>15000</v>
      </c>
    </row>
    <row r="17" spans="1:2" x14ac:dyDescent="0.25">
      <c r="A17" t="s">
        <v>13</v>
      </c>
      <c r="B17" s="10">
        <v>30000</v>
      </c>
    </row>
    <row r="18" spans="1:2" x14ac:dyDescent="0.25">
      <c r="A18" t="s">
        <v>14</v>
      </c>
      <c r="B18" s="10">
        <v>50000</v>
      </c>
    </row>
    <row r="19" spans="1:2" x14ac:dyDescent="0.25">
      <c r="A19" s="1" t="s">
        <v>15</v>
      </c>
      <c r="B19" s="10">
        <f>SUM(B15:B18)</f>
        <v>120000</v>
      </c>
    </row>
    <row r="21" spans="1:2" ht="18.75" x14ac:dyDescent="0.3">
      <c r="A21" s="3" t="s">
        <v>16</v>
      </c>
    </row>
    <row r="22" spans="1:2" x14ac:dyDescent="0.25">
      <c r="A22" t="s">
        <v>17</v>
      </c>
      <c r="B22" s="10">
        <v>20000</v>
      </c>
    </row>
    <row r="23" spans="1:2" x14ac:dyDescent="0.25">
      <c r="A23" t="s">
        <v>18</v>
      </c>
      <c r="B23" s="10">
        <v>30000</v>
      </c>
    </row>
    <row r="24" spans="1:2" x14ac:dyDescent="0.25">
      <c r="A24" t="s">
        <v>19</v>
      </c>
      <c r="B24" s="10">
        <v>70000</v>
      </c>
    </row>
    <row r="25" spans="1:2" x14ac:dyDescent="0.25">
      <c r="A25" s="1" t="s">
        <v>20</v>
      </c>
      <c r="B25" s="10">
        <f>SUM(B22:B24)</f>
        <v>120000</v>
      </c>
    </row>
    <row r="28" spans="1:2" ht="18.75" x14ac:dyDescent="0.3">
      <c r="A28" s="3" t="s">
        <v>21</v>
      </c>
    </row>
    <row r="29" spans="1:2" x14ac:dyDescent="0.25">
      <c r="A29" t="s">
        <v>22</v>
      </c>
      <c r="B29">
        <v>3.5</v>
      </c>
    </row>
    <row r="30" spans="1:2" x14ac:dyDescent="0.25">
      <c r="A30" t="s">
        <v>23</v>
      </c>
      <c r="B30" s="5">
        <v>0.5</v>
      </c>
    </row>
    <row r="31" spans="1:2" x14ac:dyDescent="0.25">
      <c r="A31" t="s">
        <v>24</v>
      </c>
      <c r="B31" s="6">
        <f>B10/B6</f>
        <v>0.2</v>
      </c>
    </row>
  </sheetData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Nikesh Khatiwada</dc:creator>
  <cp:lastModifiedBy>Nikesh Khatiwada</cp:lastModifiedBy>
  <dcterms:created xsi:type="dcterms:W3CDTF">2026-09-07T19:54:40Z</dcterms:created>
  <dcterms:modified xsi:type="dcterms:W3CDTF">2026-09-08T04:53:37Z</dcterms:modified>
</cp:coreProperties>
</file>